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ote\Desktop\"/>
    </mc:Choice>
  </mc:AlternateContent>
  <xr:revisionPtr revIDLastSave="0" documentId="8_{F5E95509-C0EA-4795-BC68-52F0CD960A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puts" sheetId="1" r:id="rId1"/>
    <sheet name="Resultados" sheetId="2" r:id="rId2"/>
    <sheet name="Notas" sheetId="3" r:id="rId3"/>
  </sheets>
  <calcPr calcId="191029"/>
  <fileRecoveryPr repairLoad="1"/>
</workbook>
</file>

<file path=xl/calcChain.xml><?xml version="1.0" encoding="utf-8"?>
<calcChain xmlns="http://schemas.openxmlformats.org/spreadsheetml/2006/main">
  <c r="B18" i="1" l="1"/>
  <c r="B19" i="1"/>
  <c r="B20" i="1"/>
  <c r="B21" i="1"/>
  <c r="B22" i="1"/>
  <c r="D11" i="1"/>
  <c r="D9" i="1"/>
  <c r="C10" i="1"/>
  <c r="D10" i="1" s="1"/>
  <c r="C11" i="1"/>
  <c r="C12" i="1"/>
  <c r="C9" i="1"/>
  <c r="J6" i="2"/>
  <c r="G6" i="2"/>
  <c r="F6" i="2"/>
  <c r="G5" i="2"/>
  <c r="F5" i="2"/>
  <c r="J5" i="2" s="1"/>
  <c r="G4" i="2"/>
  <c r="F4" i="2"/>
  <c r="J4" i="2" s="1"/>
  <c r="B17" i="1" l="1"/>
  <c r="H6" i="2"/>
  <c r="I6" i="2" s="1"/>
  <c r="H5" i="2"/>
  <c r="I5" i="2" s="1"/>
  <c r="H4" i="2"/>
  <c r="I4" i="2" s="1"/>
</calcChain>
</file>

<file path=xl/sharedStrings.xml><?xml version="1.0" encoding="utf-8"?>
<sst xmlns="http://schemas.openxmlformats.org/spreadsheetml/2006/main" count="71" uniqueCount="46">
  <si>
    <t>ClinFlow — Calculadora de Custos do WhatsApp (Meta)</t>
  </si>
  <si>
    <t>Preencha as tarifas oficiais em R$/mensagem e os volumes mensais por categoria. Ajuste o markup para simular o preço ao cliente.</t>
  </si>
  <si>
    <t>País</t>
  </si>
  <si>
    <t>Brasil</t>
  </si>
  <si>
    <t>Moeda</t>
  </si>
  <si>
    <t>BRL (R$)</t>
  </si>
  <si>
    <t>Tarifas da Meta (R$/mensagem entregue) — inserir valores oficiais</t>
  </si>
  <si>
    <t>Categoria</t>
  </si>
  <si>
    <t>Tarifa (R$)</t>
  </si>
  <si>
    <t>Volumes por cenário (mensal)</t>
  </si>
  <si>
    <t>Marketing</t>
  </si>
  <si>
    <t>Cenário</t>
  </si>
  <si>
    <t>Qtde msgs</t>
  </si>
  <si>
    <t>Utilidade</t>
  </si>
  <si>
    <t>Baixo</t>
  </si>
  <si>
    <t>Autenticação</t>
  </si>
  <si>
    <t>Serviço (resposta em até 24h)</t>
  </si>
  <si>
    <t>Serviço</t>
  </si>
  <si>
    <t>Markup do ClinFlow sobre o custo da Meta</t>
  </si>
  <si>
    <t>Médio</t>
  </si>
  <si>
    <t>Alto</t>
  </si>
  <si>
    <t>Resultados por cenário (Base: R$/mensagem por categoria)</t>
  </si>
  <si>
    <t>Custo Meta — Marketing (R$)</t>
  </si>
  <si>
    <t>Custo Meta — Utilidade (R$)</t>
  </si>
  <si>
    <t>Custo Meta — Autenticação (R$)</t>
  </si>
  <si>
    <t>Custo Meta — Serviço (R$)</t>
  </si>
  <si>
    <t>Custo Meta Total (R$)</t>
  </si>
  <si>
    <t>Markup (%)</t>
  </si>
  <si>
    <t>Receita Bruta (R$)</t>
  </si>
  <si>
    <t>Margem (R$)</t>
  </si>
  <si>
    <t>Custo por Paciente (opcional)</t>
  </si>
  <si>
    <t>Como usar:</t>
  </si>
  <si>
    <t>1) Abra https://business.whatsapp.com/products/platform-pricing e selecione Brasil e a categoria. Copie a tarifa R$/mensagem e cole em Inputs!B9:B12.</t>
  </si>
  <si>
    <t>2) Ajuste os volumes por cenário em Inputs (coluna F).</t>
  </si>
  <si>
    <t>3) Ajuste o markup (Inputs!B14).</t>
  </si>
  <si>
    <t>4) Veja os resultados em 'Resultados'. Revise sempre no site da Meta, pois valores mudam.</t>
  </si>
  <si>
    <t>Observações:</t>
  </si>
  <si>
    <t>• 'Serviço' (resposta dentro de 24h) é gratuito conforme página atual; confirme no dia do orçamento.</t>
  </si>
  <si>
    <t>• A Meta cobra mensagens entregues. Tarifas variam por categoria, país e podem ter faixas por volume (tiers).</t>
  </si>
  <si>
    <t>• Use templates aprovados fora da janela de 24h; 'Marketing' custa mais que 'Utilidade'.</t>
  </si>
  <si>
    <t>Preço do Dolar</t>
  </si>
  <si>
    <t>Tarifa (U$)</t>
  </si>
  <si>
    <t>Tarifa ClinFlow</t>
  </si>
  <si>
    <t xml:space="preserve">Custo dos pacotes </t>
  </si>
  <si>
    <t>Para o Clinflow</t>
  </si>
  <si>
    <t>Para 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</si>
</sst>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5" formatCode="_-&quot;R$&quot;\ * #,##0.0000_-;\-&quot;R$&quot;\ * #,##0.0000_-;_-&quot;R$&quot;\ * &quot;-&quot;??_-;_-@_-"/>
    <numFmt numFmtId="170" formatCode="_-&quot;R$&quot;\ * #,##0.0000_-;\-&quot;R$&quot;\ * #,##0.0000_-;_-&quot;R$&quot;\ * &quot;-&quot;????_-;_-@_-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3"/>
      <name val="Calibri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8">
    <xf numFmtId="0" fontId="0" fillId="0" borderId="0" xfId="0"/>
    <xf numFmtId="0" fontId="3" fillId="0" borderId="0" xfId="0" applyFont="1"/>
    <xf numFmtId="0" fontId="1" fillId="0" borderId="0" xfId="0" applyFont="1"/>
    <xf numFmtId="0" fontId="0" fillId="0" borderId="0" xfId="0"/>
    <xf numFmtId="0" fontId="2" fillId="0" borderId="0" xfId="0" applyFont="1"/>
    <xf numFmtId="44" fontId="0" fillId="0" borderId="0" xfId="1" applyFont="1"/>
    <xf numFmtId="165" fontId="0" fillId="0" borderId="0" xfId="1" applyNumberFormat="1" applyFont="1"/>
    <xf numFmtId="170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C24" sqref="C24"/>
    </sheetView>
  </sheetViews>
  <sheetFormatPr defaultRowHeight="15" x14ac:dyDescent="0.25"/>
  <cols>
    <col min="1" max="1" width="40" customWidth="1"/>
    <col min="2" max="12" width="24" customWidth="1"/>
  </cols>
  <sheetData>
    <row r="1" spans="1:7" ht="18.75" x14ac:dyDescent="0.3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3" t="s">
        <v>1</v>
      </c>
      <c r="B2" s="3"/>
      <c r="C2" s="3"/>
      <c r="D2" s="3"/>
      <c r="E2" s="3"/>
      <c r="F2" s="3"/>
      <c r="G2" s="3"/>
    </row>
    <row r="4" spans="1:7" x14ac:dyDescent="0.25">
      <c r="A4" t="s">
        <v>2</v>
      </c>
      <c r="B4" t="s">
        <v>3</v>
      </c>
      <c r="D4" t="s">
        <v>40</v>
      </c>
      <c r="E4" s="6">
        <v>5.2809999999999997</v>
      </c>
    </row>
    <row r="5" spans="1:7" x14ac:dyDescent="0.25">
      <c r="A5" t="s">
        <v>4</v>
      </c>
      <c r="B5" t="s">
        <v>5</v>
      </c>
    </row>
    <row r="7" spans="1:7" x14ac:dyDescent="0.25">
      <c r="A7" s="3" t="s">
        <v>6</v>
      </c>
      <c r="B7" s="3"/>
      <c r="C7" s="3"/>
      <c r="D7" s="3"/>
      <c r="E7" s="3"/>
      <c r="F7" s="3"/>
      <c r="G7" s="3"/>
    </row>
    <row r="8" spans="1:7" x14ac:dyDescent="0.25">
      <c r="A8" t="s">
        <v>7</v>
      </c>
      <c r="B8" t="s">
        <v>41</v>
      </c>
      <c r="C8" t="s">
        <v>8</v>
      </c>
      <c r="D8" t="s">
        <v>42</v>
      </c>
      <c r="E8" s="3" t="s">
        <v>9</v>
      </c>
      <c r="F8" s="3"/>
      <c r="G8" s="3"/>
    </row>
    <row r="9" spans="1:7" x14ac:dyDescent="0.25">
      <c r="A9" t="s">
        <v>10</v>
      </c>
      <c r="B9">
        <v>6.25E-2</v>
      </c>
      <c r="C9" s="7">
        <f>B9*$E$4</f>
        <v>0.33006249999999998</v>
      </c>
      <c r="D9" s="7">
        <f>C9*$C$14</f>
        <v>0.66012499999999996</v>
      </c>
      <c r="E9" t="s">
        <v>11</v>
      </c>
      <c r="F9" t="s">
        <v>7</v>
      </c>
      <c r="G9" t="s">
        <v>12</v>
      </c>
    </row>
    <row r="10" spans="1:7" x14ac:dyDescent="0.25">
      <c r="A10" t="s">
        <v>13</v>
      </c>
      <c r="B10">
        <v>6.7999999999999996E-3</v>
      </c>
      <c r="C10" s="7">
        <f t="shared" ref="C10:C12" si="0">B10*$E$4</f>
        <v>3.5910799999999993E-2</v>
      </c>
      <c r="D10" s="7">
        <f t="shared" ref="D10:D11" si="1">C10*$C$14</f>
        <v>7.1821599999999985E-2</v>
      </c>
      <c r="E10" t="s">
        <v>14</v>
      </c>
      <c r="F10" t="s">
        <v>10</v>
      </c>
      <c r="G10">
        <v>500</v>
      </c>
    </row>
    <row r="11" spans="1:7" x14ac:dyDescent="0.25">
      <c r="A11" t="s">
        <v>15</v>
      </c>
      <c r="B11">
        <v>6.7999999999999996E-3</v>
      </c>
      <c r="C11" s="7">
        <f t="shared" si="0"/>
        <v>3.5910799999999993E-2</v>
      </c>
      <c r="D11" s="7">
        <f t="shared" si="1"/>
        <v>7.1821599999999985E-2</v>
      </c>
      <c r="E11" t="s">
        <v>14</v>
      </c>
      <c r="F11" t="s">
        <v>13</v>
      </c>
      <c r="G11">
        <v>2500</v>
      </c>
    </row>
    <row r="12" spans="1:7" x14ac:dyDescent="0.25">
      <c r="A12" t="s">
        <v>16</v>
      </c>
      <c r="B12">
        <v>0</v>
      </c>
      <c r="C12" s="7">
        <f t="shared" si="0"/>
        <v>0</v>
      </c>
      <c r="E12" t="s">
        <v>14</v>
      </c>
      <c r="F12" t="s">
        <v>15</v>
      </c>
      <c r="G12">
        <v>300</v>
      </c>
    </row>
    <row r="13" spans="1:7" x14ac:dyDescent="0.25">
      <c r="E13" t="s">
        <v>14</v>
      </c>
      <c r="F13" t="s">
        <v>17</v>
      </c>
      <c r="G13">
        <v>4000</v>
      </c>
    </row>
    <row r="14" spans="1:7" x14ac:dyDescent="0.25">
      <c r="A14" t="s">
        <v>18</v>
      </c>
      <c r="C14">
        <v>2</v>
      </c>
      <c r="E14" t="s">
        <v>19</v>
      </c>
      <c r="F14" t="s">
        <v>10</v>
      </c>
      <c r="G14">
        <v>3000</v>
      </c>
    </row>
    <row r="15" spans="1:7" x14ac:dyDescent="0.25">
      <c r="E15" t="s">
        <v>19</v>
      </c>
      <c r="F15" t="s">
        <v>13</v>
      </c>
      <c r="G15">
        <v>15000</v>
      </c>
    </row>
    <row r="16" spans="1:7" x14ac:dyDescent="0.25">
      <c r="A16" t="s">
        <v>43</v>
      </c>
      <c r="B16" t="s">
        <v>44</v>
      </c>
      <c r="C16" t="s">
        <v>45</v>
      </c>
      <c r="E16" t="s">
        <v>19</v>
      </c>
      <c r="F16" t="s">
        <v>15</v>
      </c>
      <c r="G16">
        <v>1500</v>
      </c>
    </row>
    <row r="17" spans="1:7" x14ac:dyDescent="0.25">
      <c r="A17">
        <v>1000</v>
      </c>
      <c r="B17" s="5">
        <f>$C$10*A17</f>
        <v>35.910799999999995</v>
      </c>
      <c r="E17" t="s">
        <v>19</v>
      </c>
      <c r="F17" t="s">
        <v>17</v>
      </c>
      <c r="G17">
        <v>20000</v>
      </c>
    </row>
    <row r="18" spans="1:7" x14ac:dyDescent="0.25">
      <c r="A18">
        <v>2000</v>
      </c>
      <c r="B18" s="5">
        <f t="shared" ref="B18:B22" si="2">$C$10*A18</f>
        <v>71.821599999999989</v>
      </c>
      <c r="E18" t="s">
        <v>20</v>
      </c>
      <c r="F18" t="s">
        <v>10</v>
      </c>
      <c r="G18">
        <v>10000</v>
      </c>
    </row>
    <row r="19" spans="1:7" x14ac:dyDescent="0.25">
      <c r="A19">
        <v>3000</v>
      </c>
      <c r="B19" s="5">
        <f t="shared" si="2"/>
        <v>107.73239999999998</v>
      </c>
      <c r="E19" t="s">
        <v>20</v>
      </c>
      <c r="F19" t="s">
        <v>13</v>
      </c>
      <c r="G19">
        <v>60000</v>
      </c>
    </row>
    <row r="20" spans="1:7" x14ac:dyDescent="0.25">
      <c r="A20">
        <v>4000</v>
      </c>
      <c r="B20" s="5">
        <f t="shared" si="2"/>
        <v>143.64319999999998</v>
      </c>
      <c r="E20" t="s">
        <v>20</v>
      </c>
      <c r="F20" t="s">
        <v>15</v>
      </c>
      <c r="G20">
        <v>5000</v>
      </c>
    </row>
    <row r="21" spans="1:7" x14ac:dyDescent="0.25">
      <c r="A21">
        <v>5000</v>
      </c>
      <c r="B21" s="5">
        <f t="shared" si="2"/>
        <v>179.55399999999997</v>
      </c>
      <c r="E21" t="s">
        <v>20</v>
      </c>
      <c r="F21" t="s">
        <v>17</v>
      </c>
      <c r="G21">
        <v>80000</v>
      </c>
    </row>
    <row r="22" spans="1:7" x14ac:dyDescent="0.25">
      <c r="A22">
        <v>10000</v>
      </c>
      <c r="B22" s="5">
        <f t="shared" si="2"/>
        <v>359.10799999999995</v>
      </c>
    </row>
  </sheetData>
  <mergeCells count="4">
    <mergeCell ref="A1:G1"/>
    <mergeCell ref="A2:G2"/>
    <mergeCell ref="A7:G7"/>
    <mergeCell ref="E8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"/>
  <sheetViews>
    <sheetView workbookViewId="0"/>
  </sheetViews>
  <sheetFormatPr defaultRowHeight="15" x14ac:dyDescent="0.25"/>
  <cols>
    <col min="1" max="11" width="24" customWidth="1"/>
  </cols>
  <sheetData>
    <row r="1" spans="1:10" ht="17.25" x14ac:dyDescent="0.3">
      <c r="A1" s="4" t="s">
        <v>21</v>
      </c>
      <c r="B1" s="3"/>
      <c r="C1" s="3"/>
      <c r="D1" s="3"/>
      <c r="E1" s="3"/>
      <c r="F1" s="3"/>
      <c r="G1" s="3"/>
      <c r="H1" s="3"/>
      <c r="I1" s="3"/>
      <c r="J1" s="3"/>
    </row>
    <row r="3" spans="1:10" x14ac:dyDescent="0.25">
      <c r="A3" s="1" t="s">
        <v>11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</row>
    <row r="4" spans="1:10" x14ac:dyDescent="0.25">
      <c r="A4" t="s">
        <v>14</v>
      </c>
      <c r="F4">
        <f>SUM(B4:E4)</f>
        <v>0</v>
      </c>
      <c r="G4">
        <f>Inputs!$B$14</f>
        <v>0</v>
      </c>
      <c r="H4">
        <f>F4*(1+G4)</f>
        <v>0</v>
      </c>
      <c r="I4">
        <f>H4-F4</f>
        <v>0</v>
      </c>
      <c r="J4" t="e">
        <f>IF(Inputs!$B$16&gt;0, F4/Inputs!$B$16, "-")</f>
        <v>#VALUE!</v>
      </c>
    </row>
    <row r="5" spans="1:10" x14ac:dyDescent="0.25">
      <c r="A5" t="s">
        <v>19</v>
      </c>
      <c r="F5">
        <f>SUM(B5:E5)</f>
        <v>0</v>
      </c>
      <c r="G5">
        <f>Inputs!$B$14</f>
        <v>0</v>
      </c>
      <c r="H5">
        <f>F5*(1+G5)</f>
        <v>0</v>
      </c>
      <c r="I5">
        <f>H5-F5</f>
        <v>0</v>
      </c>
      <c r="J5" t="e">
        <f>IF(Inputs!$B$16&gt;0, F5/Inputs!$B$16, "-")</f>
        <v>#VALUE!</v>
      </c>
    </row>
    <row r="6" spans="1:10" x14ac:dyDescent="0.25">
      <c r="A6" t="s">
        <v>20</v>
      </c>
      <c r="F6">
        <f>SUM(B6:E6)</f>
        <v>0</v>
      </c>
      <c r="G6">
        <f>Inputs!$B$14</f>
        <v>0</v>
      </c>
      <c r="H6">
        <f>F6*(1+G6)</f>
        <v>0</v>
      </c>
      <c r="I6">
        <f>H6-F6</f>
        <v>0</v>
      </c>
      <c r="J6" t="e">
        <f>IF(Inputs!$B$16&gt;0, F6/Inputs!$B$16, "-")</f>
        <v>#VALUE!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"/>
  <sheetViews>
    <sheetView workbookViewId="0"/>
  </sheetViews>
  <sheetFormatPr defaultRowHeight="15" x14ac:dyDescent="0.25"/>
  <cols>
    <col min="1" max="11" width="24" customWidth="1"/>
  </cols>
  <sheetData>
    <row r="1" spans="1:1" x14ac:dyDescent="0.25">
      <c r="A1" s="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  <row r="7" spans="1:1" x14ac:dyDescent="0.25">
      <c r="A7" t="s">
        <v>36</v>
      </c>
    </row>
    <row r="8" spans="1:1" x14ac:dyDescent="0.25">
      <c r="A8" t="s">
        <v>37</v>
      </c>
    </row>
    <row r="9" spans="1:1" x14ac:dyDescent="0.25">
      <c r="A9" t="s">
        <v>38</v>
      </c>
    </row>
    <row r="10" spans="1:1" x14ac:dyDescent="0.25">
      <c r="A10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Inputs</vt:lpstr>
      <vt:lpstr>Resultados</vt:lpstr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Alexandre Antunes Barcelos</cp:lastModifiedBy>
  <dcterms:created xsi:type="dcterms:W3CDTF">2025-11-13T13:32:52Z</dcterms:created>
  <dcterms:modified xsi:type="dcterms:W3CDTF">2025-11-13T14:03:43Z</dcterms:modified>
</cp:coreProperties>
</file>